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processos" sheetId="1" state="visible" r:id="rId3"/>
    <sheet name="servidores" sheetId="2" state="visible" r:id="rId4"/>
    <sheet name="processos_servidor" sheetId="3" state="visible" r:id="rId5"/>
    <sheet name="total_processos_lotacao" sheetId="4" state="visible" r:id="rId6"/>
  </sheets>
  <calcPr/>
  <pivotCaches>
    <pivotCache cacheId="0" r:id="rId1"/>
  </pivotCaches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1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<sst xmlns="http://schemas.openxmlformats.org/spreadsheetml/2006/main" count="36" uniqueCount="36">
  <si>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processo_id</t>
  </si>
  <si>
    <t>servidor_id</t>
  </si>
  <si>
    <t>tipo</t>
  </si>
  <si>
    <t>status</t>
  </si>
  <si>
    <t>data_abertura</t>
  </si>
  <si>
    <t>Sindicância</t>
  </si>
  <si>
    <t>Arquivado</t>
  </si>
  <si>
    <t xml:space="preserve">Processo Administrativo Disciplinar</t>
  </si>
  <si>
    <t>Concluído</t>
  </si>
  <si>
    <t>Suspenso</t>
  </si>
  <si>
    <t>Correição</t>
  </si>
  <si>
    <t xml:space="preserve">Em andamento</t>
  </si>
  <si>
    <t>nome</t>
  </si>
  <si>
    <t>cargo</t>
  </si>
  <si>
    <t>lotacao</t>
  </si>
  <si>
    <t xml:space="preserve">Sr. Apollo Melo</t>
  </si>
  <si>
    <t>Assessor</t>
  </si>
  <si>
    <t>Corregedoria</t>
  </si>
  <si>
    <t xml:space="preserve">Dr. Leandro Correia</t>
  </si>
  <si>
    <t>Secretaria-Geral</t>
  </si>
  <si>
    <t xml:space="preserve">Srta. Ana Luiza Jesus</t>
  </si>
  <si>
    <t xml:space="preserve">Davi da Rosa</t>
  </si>
  <si>
    <t>Tecnico</t>
  </si>
  <si>
    <t>SGE</t>
  </si>
  <si>
    <t xml:space="preserve">Dra. Giovanna Cirino</t>
  </si>
  <si>
    <t>Analista</t>
  </si>
  <si>
    <t xml:space="preserve">Otto Ribeiro</t>
  </si>
  <si>
    <t>STI</t>
  </si>
  <si>
    <t xml:space="preserve">Dr. Vitor Câmara</t>
  </si>
  <si>
    <t xml:space="preserve">Dr. Vitor Gabriel Viana</t>
  </si>
  <si>
    <t xml:space="preserve">Raquel Vasconcelos</t>
  </si>
  <si>
    <t xml:space="preserve">Ágatha Farias</t>
  </si>
  <si>
    <t xml:space="preserve">Etiquetas de linha</t>
  </si>
  <si>
    <t xml:space="preserve">Contagem de processo_id</t>
  </si>
  <si>
    <t xml:space="preserve">Em branco</t>
  </si>
  <si>
    <t xml:space="preserve">Total geral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</si>
</sst>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0" fillId="0" borderId="0" numFmtId="0" xfId="0">
      <protection hidden="0" locked="1"/>
    </xf>
    <xf fontId="0" fillId="0" borderId="0" numFmtId="164" xfId="0" applyNumberFormat="1">
      <protection hidden="0" locked="1"/>
    </xf>
    <xf fontId="1" fillId="0" borderId="0" numFmtId="164" xfId="0" applyNumberFormat="1" applyFont="1"/>
    <xf fontId="0" fillId="0" borderId="0" numFmtId="0" xfId="0">
      <protection hidden="0" locked="1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sheetMetadata" Target="metadata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25">
  <cacheSource type="worksheet">
    <worksheetSource ref="A1:H26" sheet="processos_servidor"/>
  </cacheSource>
  <cacheFields count="8">
    <cacheField name="servidor_id">
      <sharedItems containsSemiMixedTypes="0" containsString="0" containsNumber="1" containsInteger="1" minValue="0" maxValue="9"/>
    </cacheField>
    <cacheField name="processo_id">
      <sharedItems containsSemiMixedTypes="0" containsString="0" containsNumber="1" containsInteger="1" minValue="0" maxValue="24"/>
    </cacheField>
    <cacheField name="tipo">
      <sharedItems/>
    </cacheField>
    <cacheField name="status">
      <sharedItems/>
    </cacheField>
    <cacheField name="data_abertura" numFmtId="164">
      <sharedItems containsSemiMixedTypes="0" containsNonDate="0" containsDate="1" containsString="0" minDate="2025-10-12T00:00:00" maxDate="2026-07-14T00:00:00"/>
    </cacheField>
    <cacheField name="nome">
      <sharedItems containsBlank="1"/>
    </cacheField>
    <cacheField name="cargo">
      <sharedItems containsBlank="1"/>
    </cacheField>
    <cacheField name="lotacao">
      <sharedItems containsBlank="1" count="5">
        <m/>
        <s v="Secretaria-Geral"/>
        <s v="SGE"/>
        <s v="Corregedoria"/>
        <s v="ST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n v="2"/>
    <n v="0"/>
    <s v="Sindicância"/>
    <s v="Arquivado"/>
    <d v="2026-04-22T00:00:00"/>
    <m/>
    <m/>
    <x v="0"/>
  </r>
  <r>
    <n v="2"/>
    <n v="1"/>
    <s v="Sindicância"/>
    <s v="Arquivado"/>
    <d v="2025-10-12T00:00:00"/>
    <s v="Srta. Ana Luiza Jesus"/>
    <s v="Assessor"/>
    <x v="1"/>
  </r>
  <r>
    <n v="2"/>
    <n v="2"/>
    <s v="Processo Administrativo Disciplinar"/>
    <s v="Arquivado"/>
    <d v="2026-02-24T00:00:00"/>
    <s v="Srta. Ana Luiza Jesus"/>
    <s v="Assessor"/>
    <x v="1"/>
  </r>
  <r>
    <n v="9"/>
    <n v="3"/>
    <s v="Sindicância"/>
    <s v="Concluído"/>
    <d v="2026-05-05T00:00:00"/>
    <s v="Ágatha Farias"/>
    <s v="Tecnico"/>
    <x v="2"/>
  </r>
  <r>
    <n v="3"/>
    <n v="4"/>
    <s v="Processo Administrativo Disciplinar"/>
    <s v="Suspenso"/>
    <d v="2025-10-19T00:00:00"/>
    <s v="Davi da Rosa"/>
    <s v="Tecnico"/>
    <x v="2"/>
  </r>
  <r>
    <n v="4"/>
    <n v="5"/>
    <s v="Sindicância"/>
    <s v="Arquivado"/>
    <d v="2026-05-12T00:00:00"/>
    <s v="Dra. Giovanna Cirino"/>
    <s v="Analista"/>
    <x v="3"/>
  </r>
  <r>
    <n v="6"/>
    <n v="6"/>
    <s v="Sindicância"/>
    <s v="Arquivado"/>
    <d v="2025-10-13T00:00:00"/>
    <s v="Dr. Vitor Câmara"/>
    <s v="Analista"/>
    <x v="1"/>
  </r>
  <r>
    <n v="0"/>
    <n v="7"/>
    <s v="Correição"/>
    <s v="Arquivado"/>
    <d v="2026-06-05T00:00:00"/>
    <s v="Sr. Apollo Melo"/>
    <s v="Assessor"/>
    <x v="3"/>
  </r>
  <r>
    <n v="7"/>
    <n v="8"/>
    <s v="Processo Administrativo Disciplinar"/>
    <s v="Arquivado"/>
    <d v="2026-01-09T00:00:00"/>
    <s v="Dr. Vitor Gabriel Viana"/>
    <s v="Analista"/>
    <x v="2"/>
  </r>
  <r>
    <n v="9"/>
    <n v="9"/>
    <s v="Processo Administrativo Disciplinar"/>
    <s v="Arquivado"/>
    <d v="2026-01-10T00:00:00"/>
    <s v="Ágatha Farias"/>
    <s v="Tecnico"/>
    <x v="2"/>
  </r>
  <r>
    <n v="4"/>
    <n v="10"/>
    <s v="Correição"/>
    <s v="Arquivado"/>
    <d v="2025-12-04T00:00:00"/>
    <s v="Dra. Giovanna Cirino"/>
    <s v="Analista"/>
    <x v="3"/>
  </r>
  <r>
    <n v="0"/>
    <n v="11"/>
    <s v="Correição"/>
    <s v="Arquivado"/>
    <d v="2026-03-05T00:00:00"/>
    <s v="Sr. Apollo Melo"/>
    <s v="Assessor"/>
    <x v="3"/>
  </r>
  <r>
    <n v="8"/>
    <n v="12"/>
    <s v="Sindicância"/>
    <s v="Concluído"/>
    <d v="2026-05-25T00:00:00"/>
    <s v="Raquel Vasconcelos"/>
    <s v="Analista"/>
    <x v="2"/>
  </r>
  <r>
    <n v="4"/>
    <n v="13"/>
    <s v="Sindicância"/>
    <s v="Em andamento"/>
    <d v="2025-11-03T00:00:00"/>
    <s v="Dra. Giovanna Cirino"/>
    <s v="Analista"/>
    <x v="3"/>
  </r>
  <r>
    <n v="6"/>
    <n v="14"/>
    <s v="Correição"/>
    <s v="Arquivado"/>
    <d v="2025-11-06T00:00:00"/>
    <s v="Dr. Vitor Câmara"/>
    <s v="Analista"/>
    <x v="1"/>
  </r>
  <r>
    <n v="9"/>
    <n v="15"/>
    <s v="Correição"/>
    <s v="Suspenso"/>
    <d v="2026-01-26T00:00:00"/>
    <s v="Ágatha Farias"/>
    <s v="Tecnico"/>
    <x v="2"/>
  </r>
  <r>
    <n v="7"/>
    <n v="16"/>
    <s v="Sindicância"/>
    <s v="Arquivado"/>
    <d v="2025-12-31T00:00:00"/>
    <s v="Dr. Vitor Gabriel Viana"/>
    <s v="Analista"/>
    <x v="2"/>
  </r>
  <r>
    <n v="5"/>
    <n v="17"/>
    <s v="Processo Administrativo Disciplinar"/>
    <s v="Arquivado"/>
    <d v="2026-04-22T00:00:00"/>
    <s v="Otto Ribeiro"/>
    <s v="Analista"/>
    <x v="4"/>
  </r>
  <r>
    <n v="3"/>
    <n v="18"/>
    <s v="Processo Administrativo Disciplinar"/>
    <s v="Concluído"/>
    <d v="2026-04-19T00:00:00"/>
    <s v="Davi da Rosa"/>
    <s v="Tecnico"/>
    <x v="2"/>
  </r>
  <r>
    <n v="7"/>
    <n v="19"/>
    <s v="Processo Administrativo Disciplinar"/>
    <s v="Concluído"/>
    <d v="2026-06-23T00:00:00"/>
    <s v="Dr. Vitor Gabriel Viana"/>
    <s v="Analista"/>
    <x v="2"/>
  </r>
  <r>
    <n v="1"/>
    <n v="20"/>
    <s v="Correição"/>
    <s v="Em andamento"/>
    <d v="2026-02-10T00:00:00"/>
    <s v="Dr. Leandro Correia"/>
    <s v="Assessor"/>
    <x v="1"/>
  </r>
  <r>
    <n v="0"/>
    <n v="21"/>
    <s v="Processo Administrativo Disciplinar"/>
    <s v="Em andamento"/>
    <d v="2026-06-13T00:00:00"/>
    <s v="Sr. Apollo Melo"/>
    <s v="Assessor"/>
    <x v="3"/>
  </r>
  <r>
    <n v="9"/>
    <n v="22"/>
    <s v="Processo Administrativo Disciplinar"/>
    <s v="Arquivado"/>
    <d v="2026-06-09T00:00:00"/>
    <s v="Ágatha Farias"/>
    <s v="Tecnico"/>
    <x v="2"/>
  </r>
  <r>
    <n v="8"/>
    <n v="23"/>
    <s v="Sindicância"/>
    <s v="Arquivado"/>
    <d v="2026-07-14T00:00:00"/>
    <s v="Raquel Vasconcelos"/>
    <s v="Analista"/>
    <x v="2"/>
  </r>
  <r>
    <n v="3"/>
    <n v="24"/>
    <s v="Correição"/>
    <s v="Arquivado"/>
    <d v="2026-03-22T00:00:00"/>
    <s v="Davi da Rosa"/>
    <s v="Tecnico"/>
    <x v="2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B9" firstHeaderRow="1" firstDataRow="1" firstDataCol="1"/>
  <pivotFields count="8">
    <pivotField showAll="0"/>
    <pivotField dataField="1" showAll="0"/>
    <pivotField showAll="0"/>
    <pivotField showAll="0"/>
    <pivotField numFmtId="164"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processo_id" fld="1" subtotal="count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5" max="5" style="1" width="13.0117187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">
      <c r="A2" s="2">
        <v>0</v>
      </c>
      <c r="B2" s="2">
        <v>2</v>
      </c>
      <c r="C2" s="2" t="s">
        <v>5</v>
      </c>
      <c r="D2" s="2" t="s">
        <v>6</v>
      </c>
      <c r="E2" s="4">
        <v>46134</v>
      </c>
    </row>
    <row r="3" ht="15">
      <c r="A3" s="2">
        <v>1</v>
      </c>
      <c r="B3" s="2">
        <v>2</v>
      </c>
      <c r="C3" s="2" t="s">
        <v>5</v>
      </c>
      <c r="D3" s="2" t="s">
        <v>6</v>
      </c>
      <c r="E3" s="4">
        <v>45942</v>
      </c>
    </row>
    <row r="4" ht="15">
      <c r="A4" s="2">
        <v>2</v>
      </c>
      <c r="B4" s="2">
        <v>2</v>
      </c>
      <c r="C4" s="2" t="s">
        <v>7</v>
      </c>
      <c r="D4" s="2" t="s">
        <v>6</v>
      </c>
      <c r="E4" s="4">
        <v>46077</v>
      </c>
    </row>
    <row r="5" ht="15">
      <c r="A5" s="2">
        <v>3</v>
      </c>
      <c r="B5" s="2">
        <v>9</v>
      </c>
      <c r="C5" s="2" t="s">
        <v>5</v>
      </c>
      <c r="D5" s="2" t="s">
        <v>8</v>
      </c>
      <c r="E5" s="4">
        <v>46147</v>
      </c>
    </row>
    <row r="6" ht="15">
      <c r="A6" s="2">
        <v>4</v>
      </c>
      <c r="B6" s="2">
        <v>3</v>
      </c>
      <c r="C6" s="2" t="s">
        <v>7</v>
      </c>
      <c r="D6" s="2" t="s">
        <v>9</v>
      </c>
      <c r="E6" s="4">
        <v>45949</v>
      </c>
    </row>
    <row r="7" ht="15">
      <c r="A7" s="2">
        <v>5</v>
      </c>
      <c r="B7" s="2">
        <v>4</v>
      </c>
      <c r="C7" s="2" t="s">
        <v>5</v>
      </c>
      <c r="D7" s="2" t="s">
        <v>6</v>
      </c>
      <c r="E7" s="4">
        <v>46154</v>
      </c>
    </row>
    <row r="8" ht="15">
      <c r="A8" s="2">
        <v>6</v>
      </c>
      <c r="B8" s="2">
        <v>6</v>
      </c>
      <c r="C8" s="2" t="s">
        <v>5</v>
      </c>
      <c r="D8" s="2" t="s">
        <v>6</v>
      </c>
      <c r="E8" s="4">
        <v>45943</v>
      </c>
    </row>
    <row r="9" ht="15">
      <c r="A9" s="2">
        <v>7</v>
      </c>
      <c r="B9" s="2">
        <v>0</v>
      </c>
      <c r="C9" s="2" t="s">
        <v>10</v>
      </c>
      <c r="D9" s="2" t="s">
        <v>6</v>
      </c>
      <c r="E9" s="4">
        <v>46178</v>
      </c>
    </row>
    <row r="10" ht="15">
      <c r="A10" s="2">
        <v>8</v>
      </c>
      <c r="B10" s="2">
        <v>7</v>
      </c>
      <c r="C10" s="2" t="s">
        <v>7</v>
      </c>
      <c r="D10" s="2" t="s">
        <v>6</v>
      </c>
      <c r="E10" s="4">
        <v>46031</v>
      </c>
    </row>
    <row r="11" ht="15">
      <c r="A11" s="2">
        <v>9</v>
      </c>
      <c r="B11" s="2">
        <v>9</v>
      </c>
      <c r="C11" s="2" t="s">
        <v>7</v>
      </c>
      <c r="D11" s="2" t="s">
        <v>6</v>
      </c>
      <c r="E11" s="4">
        <v>46032</v>
      </c>
    </row>
    <row r="12" ht="15">
      <c r="A12" s="2">
        <v>10</v>
      </c>
      <c r="B12" s="2">
        <v>4</v>
      </c>
      <c r="C12" s="2" t="s">
        <v>10</v>
      </c>
      <c r="D12" s="2" t="s">
        <v>6</v>
      </c>
      <c r="E12" s="4">
        <v>45995</v>
      </c>
    </row>
    <row r="13" ht="15">
      <c r="A13" s="2">
        <v>11</v>
      </c>
      <c r="B13" s="2">
        <v>0</v>
      </c>
      <c r="C13" s="2" t="s">
        <v>10</v>
      </c>
      <c r="D13" s="2" t="s">
        <v>6</v>
      </c>
      <c r="E13" s="4">
        <v>46086</v>
      </c>
    </row>
    <row r="14" ht="15">
      <c r="A14" s="2">
        <v>12</v>
      </c>
      <c r="B14" s="2">
        <v>8</v>
      </c>
      <c r="C14" s="2" t="s">
        <v>5</v>
      </c>
      <c r="D14" s="2" t="s">
        <v>8</v>
      </c>
      <c r="E14" s="4">
        <v>46167</v>
      </c>
    </row>
    <row r="15" ht="15">
      <c r="A15" s="2">
        <v>13</v>
      </c>
      <c r="B15" s="2">
        <v>4</v>
      </c>
      <c r="C15" s="2" t="s">
        <v>5</v>
      </c>
      <c r="D15" s="2" t="s">
        <v>11</v>
      </c>
      <c r="E15" s="4">
        <v>45964</v>
      </c>
    </row>
    <row r="16" ht="15">
      <c r="A16" s="2">
        <v>14</v>
      </c>
      <c r="B16" s="2">
        <v>6</v>
      </c>
      <c r="C16" s="2" t="s">
        <v>10</v>
      </c>
      <c r="D16" s="2" t="s">
        <v>6</v>
      </c>
      <c r="E16" s="4">
        <v>45967</v>
      </c>
    </row>
    <row r="17" ht="15">
      <c r="A17" s="2">
        <v>15</v>
      </c>
      <c r="B17" s="2">
        <v>9</v>
      </c>
      <c r="C17" s="2" t="s">
        <v>10</v>
      </c>
      <c r="D17" s="2" t="s">
        <v>9</v>
      </c>
      <c r="E17" s="4">
        <v>46048</v>
      </c>
    </row>
    <row r="18" ht="15">
      <c r="A18" s="2">
        <v>16</v>
      </c>
      <c r="B18" s="2">
        <v>7</v>
      </c>
      <c r="C18" s="2" t="s">
        <v>5</v>
      </c>
      <c r="D18" s="2" t="s">
        <v>6</v>
      </c>
      <c r="E18" s="4">
        <v>46022</v>
      </c>
    </row>
    <row r="19" ht="15">
      <c r="A19" s="2">
        <v>17</v>
      </c>
      <c r="B19" s="2">
        <v>5</v>
      </c>
      <c r="C19" s="2" t="s">
        <v>7</v>
      </c>
      <c r="D19" s="2" t="s">
        <v>6</v>
      </c>
      <c r="E19" s="4">
        <v>46134</v>
      </c>
    </row>
    <row r="20" ht="15">
      <c r="A20" s="2">
        <v>18</v>
      </c>
      <c r="B20" s="2">
        <v>3</v>
      </c>
      <c r="C20" s="2" t="s">
        <v>7</v>
      </c>
      <c r="D20" s="2" t="s">
        <v>8</v>
      </c>
      <c r="E20" s="4">
        <v>46131</v>
      </c>
    </row>
    <row r="21" ht="15">
      <c r="A21" s="2">
        <v>19</v>
      </c>
      <c r="B21" s="2">
        <v>7</v>
      </c>
      <c r="C21" s="2" t="s">
        <v>7</v>
      </c>
      <c r="D21" s="2" t="s">
        <v>8</v>
      </c>
      <c r="E21" s="4">
        <v>46196</v>
      </c>
    </row>
    <row r="22" ht="15">
      <c r="A22" s="2">
        <v>20</v>
      </c>
      <c r="B22" s="2">
        <v>1</v>
      </c>
      <c r="C22" s="2" t="s">
        <v>10</v>
      </c>
      <c r="D22" s="2" t="s">
        <v>11</v>
      </c>
      <c r="E22" s="4">
        <v>46063</v>
      </c>
    </row>
    <row r="23" ht="15">
      <c r="A23" s="2">
        <v>21</v>
      </c>
      <c r="B23" s="2">
        <v>0</v>
      </c>
      <c r="C23" s="2" t="s">
        <v>7</v>
      </c>
      <c r="D23" s="2" t="s">
        <v>11</v>
      </c>
      <c r="E23" s="4">
        <v>46186</v>
      </c>
    </row>
    <row r="24" ht="15">
      <c r="A24" s="2">
        <v>22</v>
      </c>
      <c r="B24" s="2">
        <v>9</v>
      </c>
      <c r="C24" s="2" t="s">
        <v>7</v>
      </c>
      <c r="D24" s="2" t="s">
        <v>6</v>
      </c>
      <c r="E24" s="4">
        <v>46182</v>
      </c>
    </row>
    <row r="25" ht="15">
      <c r="A25" s="2">
        <v>23</v>
      </c>
      <c r="B25" s="2">
        <v>8</v>
      </c>
      <c r="C25" s="2" t="s">
        <v>5</v>
      </c>
      <c r="D25" s="2" t="s">
        <v>6</v>
      </c>
      <c r="E25" s="4">
        <v>46217</v>
      </c>
    </row>
    <row r="26" ht="15">
      <c r="A26" s="2">
        <v>24</v>
      </c>
      <c r="B26" s="2">
        <v>3</v>
      </c>
      <c r="C26" s="2" t="s">
        <v>10</v>
      </c>
      <c r="D26" s="2" t="s">
        <v>6</v>
      </c>
      <c r="E26" s="4">
        <v>46103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5" t="s">
        <v>1</v>
      </c>
      <c r="B1" s="2" t="s">
        <v>12</v>
      </c>
      <c r="C1" s="2" t="s">
        <v>13</v>
      </c>
      <c r="D1" s="2" t="s">
        <v>14</v>
      </c>
    </row>
    <row r="2">
      <c r="A2" s="2">
        <v>0</v>
      </c>
      <c r="B2" s="2" t="s">
        <v>15</v>
      </c>
      <c r="C2" s="2" t="s">
        <v>16</v>
      </c>
      <c r="D2" s="2" t="s">
        <v>17</v>
      </c>
    </row>
    <row r="3">
      <c r="A3" s="2">
        <v>1</v>
      </c>
      <c r="B3" s="2" t="s">
        <v>18</v>
      </c>
      <c r="C3" s="2" t="s">
        <v>16</v>
      </c>
      <c r="D3" s="2" t="s">
        <v>19</v>
      </c>
    </row>
    <row r="4">
      <c r="A4" s="2">
        <v>2</v>
      </c>
      <c r="B4" s="2" t="s">
        <v>20</v>
      </c>
      <c r="C4" s="2" t="s">
        <v>16</v>
      </c>
      <c r="D4" s="2" t="s">
        <v>19</v>
      </c>
    </row>
    <row r="5">
      <c r="A5" s="2">
        <v>3</v>
      </c>
      <c r="B5" s="2" t="s">
        <v>21</v>
      </c>
      <c r="C5" s="2" t="s">
        <v>22</v>
      </c>
      <c r="D5" s="2" t="s">
        <v>23</v>
      </c>
    </row>
    <row r="6">
      <c r="A6" s="2">
        <v>4</v>
      </c>
      <c r="B6" s="2" t="s">
        <v>24</v>
      </c>
      <c r="C6" s="2" t="s">
        <v>25</v>
      </c>
      <c r="D6" s="2" t="s">
        <v>17</v>
      </c>
    </row>
    <row r="7">
      <c r="A7" s="2">
        <v>5</v>
      </c>
      <c r="B7" s="2" t="s">
        <v>26</v>
      </c>
      <c r="C7" s="2" t="s">
        <v>25</v>
      </c>
      <c r="D7" s="2" t="s">
        <v>27</v>
      </c>
    </row>
    <row r="8">
      <c r="A8" s="2">
        <v>6</v>
      </c>
      <c r="B8" s="2" t="s">
        <v>28</v>
      </c>
      <c r="C8" s="2" t="s">
        <v>25</v>
      </c>
      <c r="D8" s="2" t="s">
        <v>19</v>
      </c>
    </row>
    <row r="9">
      <c r="A9" s="2">
        <v>7</v>
      </c>
      <c r="B9" s="2" t="s">
        <v>29</v>
      </c>
      <c r="C9" s="2" t="s">
        <v>25</v>
      </c>
      <c r="D9" s="2" t="s">
        <v>23</v>
      </c>
    </row>
    <row r="10">
      <c r="A10" s="2">
        <v>8</v>
      </c>
      <c r="B10" s="2" t="s">
        <v>30</v>
      </c>
      <c r="C10" s="2" t="s">
        <v>25</v>
      </c>
      <c r="D10" s="2" t="s">
        <v>23</v>
      </c>
    </row>
    <row r="11">
      <c r="A11" s="2">
        <v>9</v>
      </c>
      <c r="B11" s="2" t="s">
        <v>31</v>
      </c>
      <c r="C11" s="2" t="s">
        <v>22</v>
      </c>
      <c r="D11" s="2" t="s">
        <v>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40234375"/>
    <col bestFit="1" min="2" max="2" width="11.0234375"/>
    <col bestFit="1" min="3" max="3" width="30.83203125"/>
    <col bestFit="1" min="5" max="5" style="1" width="13.01171875"/>
    <col bestFit="1" min="6" max="6" width="20.03125"/>
    <col bestFit="1" min="8" max="8" width="14.50390625"/>
    <col bestFit="1" min="9" max="9" width="20.03125"/>
    <col bestFit="1" min="11" max="11" width="14.50390625"/>
  </cols>
  <sheetData>
    <row r="1" ht="14.25">
      <c r="A1" t="str" cm="1">
        <f t="array" ref="A1:A26">processos!B1:B26</f>
        <v>servidor_id</v>
      </c>
      <c r="B1" t="str" cm="1">
        <f t="array" ref="B1:B26">processos!A1:A26</f>
        <v>processo_id</v>
      </c>
      <c r="C1" t="str" cm="1">
        <f t="array" ref="C1:C26">processos!C1:C26</f>
        <v>tipo</v>
      </c>
      <c r="D1" t="str" cm="1">
        <f t="array" ref="D1:D26">processos!D1:D26</f>
        <v>status</v>
      </c>
      <c r="E1" s="1" t="str" cm="1">
        <f t="array" ref="E1:E26">processos!E1:E26</f>
        <v>data_abertura</v>
      </c>
      <c r="F1" t="s">
        <v>12</v>
      </c>
      <c r="G1" t="s">
        <v>13</v>
      </c>
      <c r="H1" t="s">
        <v>14</v>
      </c>
    </row>
    <row r="2" ht="14.25">
      <c r="A2">
        <f/>
        <v>2</v>
      </c>
      <c r="B2">
        <f/>
        <v>0</v>
      </c>
      <c r="C2" t="str">
        <f/>
        <v>Sindicância</v>
      </c>
      <c r="D2" t="str">
        <f/>
        <v>Arquivado</v>
      </c>
      <c r="E2" s="1">
        <f/>
        <v>46134</v>
      </c>
      <c r="F2" t="str" cm="1">
        <f t="array" ref="F2:F26">VLOOKUP(A2:A26,servidores!A2:D11,2,0)</f>
        <v xml:space="preserve">Srta. Ana Luiza Jesus</v>
      </c>
      <c r="G2" t="str" cm="1">
        <f t="array" ref="G2:G26">VLOOKUP(A2:A26,servidores!A2:D11,3,0)</f>
        <v>Assessor</v>
      </c>
      <c r="H2" t="str" cm="1">
        <f t="array" ref="H2:H26">VLOOKUP(A2:A26,servidores!A2:D11,4,0)</f>
        <v>Secretaria-Geral</v>
      </c>
    </row>
    <row r="3" ht="14.25">
      <c r="A3">
        <f/>
        <v>2</v>
      </c>
      <c r="B3">
        <f/>
        <v>1</v>
      </c>
      <c r="C3" t="str">
        <f/>
        <v>Sindicância</v>
      </c>
      <c r="D3" t="str">
        <f/>
        <v>Arquivado</v>
      </c>
      <c r="E3" s="1">
        <f/>
        <v>45942</v>
      </c>
      <c r="F3" t="str">
        <f/>
        <v xml:space="preserve">Srta. Ana Luiza Jesus</v>
      </c>
      <c r="G3" t="str">
        <f/>
        <v>Assessor</v>
      </c>
      <c r="H3" t="str">
        <f/>
        <v>Secretaria-Geral</v>
      </c>
    </row>
    <row r="4" ht="14.25">
      <c r="A4">
        <f/>
        <v>2</v>
      </c>
      <c r="B4">
        <f/>
        <v>2</v>
      </c>
      <c r="C4" t="str">
        <f/>
        <v xml:space="preserve">Processo Administrativo Disciplinar</v>
      </c>
      <c r="D4" t="str">
        <f/>
        <v>Arquivado</v>
      </c>
      <c r="E4" s="1">
        <f/>
        <v>46077</v>
      </c>
      <c r="F4" t="str">
        <f/>
        <v xml:space="preserve">Srta. Ana Luiza Jesus</v>
      </c>
      <c r="G4" t="str">
        <f/>
        <v>Assessor</v>
      </c>
      <c r="H4" t="str">
        <f/>
        <v>Secretaria-Geral</v>
      </c>
    </row>
    <row r="5" ht="14.25">
      <c r="A5">
        <f/>
        <v>9</v>
      </c>
      <c r="B5">
        <f/>
        <v>3</v>
      </c>
      <c r="C5" t="str">
        <f/>
        <v>Sindicância</v>
      </c>
      <c r="D5" t="str">
        <f/>
        <v>Concluído</v>
      </c>
      <c r="E5" s="1">
        <f/>
        <v>46147</v>
      </c>
      <c r="F5" t="str">
        <f/>
        <v xml:space="preserve">Ágatha Farias</v>
      </c>
      <c r="G5" t="str">
        <f/>
        <v>Tecnico</v>
      </c>
      <c r="H5" t="str">
        <f/>
        <v>SGE</v>
      </c>
    </row>
    <row r="6" ht="14.25">
      <c r="A6">
        <f/>
        <v>3</v>
      </c>
      <c r="B6">
        <f/>
        <v>4</v>
      </c>
      <c r="C6" t="str">
        <f/>
        <v xml:space="preserve">Processo Administrativo Disciplinar</v>
      </c>
      <c r="D6" t="str">
        <f/>
        <v>Suspenso</v>
      </c>
      <c r="E6" s="1">
        <f/>
        <v>45949</v>
      </c>
      <c r="F6" t="str">
        <f/>
        <v xml:space="preserve">Davi da Rosa</v>
      </c>
      <c r="G6" t="str">
        <f/>
        <v>Tecnico</v>
      </c>
      <c r="H6" t="str">
        <f/>
        <v>SGE</v>
      </c>
    </row>
    <row r="7" ht="14.25">
      <c r="A7">
        <f/>
        <v>4</v>
      </c>
      <c r="B7">
        <f/>
        <v>5</v>
      </c>
      <c r="C7" t="str">
        <f/>
        <v>Sindicância</v>
      </c>
      <c r="D7" t="str">
        <f/>
        <v>Arquivado</v>
      </c>
      <c r="E7" s="1">
        <f/>
        <v>46154</v>
      </c>
      <c r="F7" t="str">
        <f/>
        <v xml:space="preserve">Dra. Giovanna Cirino</v>
      </c>
      <c r="G7" t="str">
        <f/>
        <v>Analista</v>
      </c>
      <c r="H7" t="str">
        <f/>
        <v>Corregedoria</v>
      </c>
    </row>
    <row r="8" ht="14.25">
      <c r="A8">
        <f/>
        <v>6</v>
      </c>
      <c r="B8">
        <f/>
        <v>6</v>
      </c>
      <c r="C8" t="str">
        <f/>
        <v>Sindicância</v>
      </c>
      <c r="D8" t="str">
        <f/>
        <v>Arquivado</v>
      </c>
      <c r="E8" s="1">
        <f/>
        <v>45943</v>
      </c>
      <c r="F8" t="str">
        <f/>
        <v xml:space="preserve">Dr. Vitor Câmara</v>
      </c>
      <c r="G8" t="str">
        <f/>
        <v>Analista</v>
      </c>
      <c r="H8" t="str">
        <f/>
        <v>Secretaria-Geral</v>
      </c>
    </row>
    <row r="9" ht="14.25">
      <c r="A9">
        <f/>
        <v>0</v>
      </c>
      <c r="B9">
        <f/>
        <v>7</v>
      </c>
      <c r="C9" t="str">
        <f/>
        <v>Correição</v>
      </c>
      <c r="D9" t="str">
        <f/>
        <v>Arquivado</v>
      </c>
      <c r="E9" s="1">
        <f/>
        <v>46178</v>
      </c>
      <c r="F9" t="str">
        <f/>
        <v xml:space="preserve">Sr. Apollo Melo</v>
      </c>
      <c r="G9" t="str">
        <f/>
        <v>Assessor</v>
      </c>
      <c r="H9" t="str">
        <f/>
        <v>Corregedoria</v>
      </c>
    </row>
    <row r="10" ht="14.25">
      <c r="A10">
        <f/>
        <v>7</v>
      </c>
      <c r="B10">
        <f/>
        <v>8</v>
      </c>
      <c r="C10" t="str">
        <f/>
        <v xml:space="preserve">Processo Administrativo Disciplinar</v>
      </c>
      <c r="D10" t="str">
        <f/>
        <v>Arquivado</v>
      </c>
      <c r="E10" s="1">
        <f/>
        <v>46031</v>
      </c>
      <c r="F10" t="str">
        <f/>
        <v xml:space="preserve">Dr. Vitor Gabriel Viana</v>
      </c>
      <c r="G10" t="str">
        <f/>
        <v>Analista</v>
      </c>
      <c r="H10" t="str">
        <f/>
        <v>SGE</v>
      </c>
    </row>
    <row r="11" ht="14.25">
      <c r="A11">
        <f/>
        <v>9</v>
      </c>
      <c r="B11">
        <f/>
        <v>9</v>
      </c>
      <c r="C11" t="str">
        <f/>
        <v xml:space="preserve">Processo Administrativo Disciplinar</v>
      </c>
      <c r="D11" t="str">
        <f/>
        <v>Arquivado</v>
      </c>
      <c r="E11" s="1">
        <f/>
        <v>46032</v>
      </c>
      <c r="F11" t="str">
        <f/>
        <v xml:space="preserve">Ágatha Farias</v>
      </c>
      <c r="G11" t="str">
        <f/>
        <v>Tecnico</v>
      </c>
      <c r="H11" t="str">
        <f/>
        <v>SGE</v>
      </c>
    </row>
    <row r="12" ht="14.25">
      <c r="A12">
        <f/>
        <v>4</v>
      </c>
      <c r="B12">
        <f/>
        <v>10</v>
      </c>
      <c r="C12" t="str">
        <f/>
        <v>Correição</v>
      </c>
      <c r="D12" t="str">
        <f/>
        <v>Arquivado</v>
      </c>
      <c r="E12" s="1">
        <f/>
        <v>45995</v>
      </c>
      <c r="F12" t="str">
        <f/>
        <v xml:space="preserve">Dra. Giovanna Cirino</v>
      </c>
      <c r="G12" t="str">
        <f/>
        <v>Analista</v>
      </c>
      <c r="H12" t="str">
        <f/>
        <v>Corregedoria</v>
      </c>
    </row>
    <row r="13" ht="14.25">
      <c r="A13">
        <f/>
        <v>0</v>
      </c>
      <c r="B13">
        <f/>
        <v>11</v>
      </c>
      <c r="C13" t="str">
        <f/>
        <v>Correição</v>
      </c>
      <c r="D13" t="str">
        <f/>
        <v>Arquivado</v>
      </c>
      <c r="E13" s="1">
        <f/>
        <v>46086</v>
      </c>
      <c r="F13" t="str">
        <f/>
        <v xml:space="preserve">Sr. Apollo Melo</v>
      </c>
      <c r="G13" t="str">
        <f/>
        <v>Assessor</v>
      </c>
      <c r="H13" t="str">
        <f/>
        <v>Corregedoria</v>
      </c>
    </row>
    <row r="14" ht="14.25">
      <c r="A14">
        <f/>
        <v>8</v>
      </c>
      <c r="B14">
        <f/>
        <v>12</v>
      </c>
      <c r="C14" t="str">
        <f/>
        <v>Sindicância</v>
      </c>
      <c r="D14" t="str">
        <f/>
        <v>Concluído</v>
      </c>
      <c r="E14" s="1">
        <f/>
        <v>46167</v>
      </c>
      <c r="F14" t="str">
        <f/>
        <v xml:space="preserve">Raquel Vasconcelos</v>
      </c>
      <c r="G14" t="str">
        <f/>
        <v>Analista</v>
      </c>
      <c r="H14" t="str">
        <f/>
        <v>SGE</v>
      </c>
    </row>
    <row r="15" ht="14.25">
      <c r="A15">
        <f/>
        <v>4</v>
      </c>
      <c r="B15">
        <f/>
        <v>13</v>
      </c>
      <c r="C15" t="str">
        <f/>
        <v>Sindicância</v>
      </c>
      <c r="D15" t="str">
        <f/>
        <v xml:space="preserve">Em andamento</v>
      </c>
      <c r="E15" s="1">
        <f/>
        <v>45964</v>
      </c>
      <c r="F15" t="str">
        <f/>
        <v xml:space="preserve">Dra. Giovanna Cirino</v>
      </c>
      <c r="G15" t="str">
        <f/>
        <v>Analista</v>
      </c>
      <c r="H15" t="str">
        <f/>
        <v>Corregedoria</v>
      </c>
    </row>
    <row r="16" ht="14.25">
      <c r="A16">
        <f/>
        <v>6</v>
      </c>
      <c r="B16">
        <f/>
        <v>14</v>
      </c>
      <c r="C16" t="str">
        <f/>
        <v>Correição</v>
      </c>
      <c r="D16" t="str">
        <f/>
        <v>Arquivado</v>
      </c>
      <c r="E16" s="1">
        <f/>
        <v>45967</v>
      </c>
      <c r="F16" t="str">
        <f/>
        <v xml:space="preserve">Dr. Vitor Câmara</v>
      </c>
      <c r="G16" t="str">
        <f/>
        <v>Analista</v>
      </c>
      <c r="H16" t="str">
        <f/>
        <v>Secretaria-Geral</v>
      </c>
    </row>
    <row r="17" ht="14.25">
      <c r="A17">
        <f/>
        <v>9</v>
      </c>
      <c r="B17">
        <f/>
        <v>15</v>
      </c>
      <c r="C17" t="str">
        <f/>
        <v>Correição</v>
      </c>
      <c r="D17" t="str">
        <f/>
        <v>Suspenso</v>
      </c>
      <c r="E17" s="1">
        <f/>
        <v>46048</v>
      </c>
      <c r="F17" t="str">
        <f/>
        <v xml:space="preserve">Ágatha Farias</v>
      </c>
      <c r="G17" t="str">
        <f/>
        <v>Tecnico</v>
      </c>
      <c r="H17" t="str">
        <f/>
        <v>SGE</v>
      </c>
    </row>
    <row r="18" ht="14.25">
      <c r="A18">
        <f/>
        <v>7</v>
      </c>
      <c r="B18">
        <f/>
        <v>16</v>
      </c>
      <c r="C18" t="str">
        <f/>
        <v>Sindicância</v>
      </c>
      <c r="D18" t="str">
        <f/>
        <v>Arquivado</v>
      </c>
      <c r="E18" s="1">
        <f/>
        <v>46022</v>
      </c>
      <c r="F18" t="str">
        <f/>
        <v xml:space="preserve">Dr. Vitor Gabriel Viana</v>
      </c>
      <c r="G18" t="str">
        <f/>
        <v>Analista</v>
      </c>
      <c r="H18" t="str">
        <f/>
        <v>SGE</v>
      </c>
    </row>
    <row r="19" ht="14.25">
      <c r="A19">
        <f/>
        <v>5</v>
      </c>
      <c r="B19">
        <f/>
        <v>17</v>
      </c>
      <c r="C19" t="str">
        <f/>
        <v xml:space="preserve">Processo Administrativo Disciplinar</v>
      </c>
      <c r="D19" t="str">
        <f/>
        <v>Arquivado</v>
      </c>
      <c r="E19" s="1">
        <f/>
        <v>46134</v>
      </c>
      <c r="F19" t="str">
        <f/>
        <v xml:space="preserve">Otto Ribeiro</v>
      </c>
      <c r="G19" t="str">
        <f/>
        <v>Analista</v>
      </c>
      <c r="H19" t="str">
        <f/>
        <v>STI</v>
      </c>
    </row>
    <row r="20" ht="14.25">
      <c r="A20">
        <f/>
        <v>3</v>
      </c>
      <c r="B20">
        <f/>
        <v>18</v>
      </c>
      <c r="C20" t="str">
        <f/>
        <v xml:space="preserve">Processo Administrativo Disciplinar</v>
      </c>
      <c r="D20" t="str">
        <f/>
        <v>Concluído</v>
      </c>
      <c r="E20" s="1">
        <f/>
        <v>46131</v>
      </c>
      <c r="F20" t="str">
        <f/>
        <v xml:space="preserve">Davi da Rosa</v>
      </c>
      <c r="G20" t="str">
        <f/>
        <v>Tecnico</v>
      </c>
      <c r="H20" t="str">
        <f/>
        <v>SGE</v>
      </c>
    </row>
    <row r="21" ht="14.25">
      <c r="A21">
        <f/>
        <v>7</v>
      </c>
      <c r="B21">
        <f/>
        <v>19</v>
      </c>
      <c r="C21" t="str">
        <f/>
        <v xml:space="preserve">Processo Administrativo Disciplinar</v>
      </c>
      <c r="D21" t="str">
        <f/>
        <v>Concluído</v>
      </c>
      <c r="E21" s="1">
        <f/>
        <v>46196</v>
      </c>
      <c r="F21" t="str">
        <f/>
        <v xml:space="preserve">Dr. Vitor Gabriel Viana</v>
      </c>
      <c r="G21" t="str">
        <f/>
        <v>Analista</v>
      </c>
      <c r="H21" t="str">
        <f/>
        <v>SGE</v>
      </c>
    </row>
    <row r="22" ht="14.25">
      <c r="A22">
        <f/>
        <v>1</v>
      </c>
      <c r="B22">
        <f/>
        <v>20</v>
      </c>
      <c r="C22" t="str">
        <f/>
        <v>Correição</v>
      </c>
      <c r="D22" t="str">
        <f/>
        <v xml:space="preserve">Em andamento</v>
      </c>
      <c r="E22" s="1">
        <f/>
        <v>46063</v>
      </c>
      <c r="F22" t="str">
        <f/>
        <v xml:space="preserve">Dr. Leandro Correia</v>
      </c>
      <c r="G22" t="str">
        <f/>
        <v>Assessor</v>
      </c>
      <c r="H22" t="str">
        <f/>
        <v>Secretaria-Geral</v>
      </c>
    </row>
    <row r="23" ht="14.25">
      <c r="A23">
        <f/>
        <v>0</v>
      </c>
      <c r="B23">
        <f/>
        <v>21</v>
      </c>
      <c r="C23" t="str">
        <f/>
        <v xml:space="preserve">Processo Administrativo Disciplinar</v>
      </c>
      <c r="D23" t="str">
        <f/>
        <v xml:space="preserve">Em andamento</v>
      </c>
      <c r="E23" s="1">
        <f/>
        <v>46186</v>
      </c>
      <c r="F23" t="str">
        <f/>
        <v xml:space="preserve">Sr. Apollo Melo</v>
      </c>
      <c r="G23" t="str">
        <f/>
        <v>Assessor</v>
      </c>
      <c r="H23" t="str">
        <f/>
        <v>Corregedoria</v>
      </c>
    </row>
    <row r="24" ht="14.25">
      <c r="A24">
        <f/>
        <v>9</v>
      </c>
      <c r="B24">
        <f/>
        <v>22</v>
      </c>
      <c r="C24" t="str">
        <f/>
        <v xml:space="preserve">Processo Administrativo Disciplinar</v>
      </c>
      <c r="D24" t="str">
        <f/>
        <v>Arquivado</v>
      </c>
      <c r="E24" s="1">
        <f/>
        <v>46182</v>
      </c>
      <c r="F24" t="str">
        <f/>
        <v xml:space="preserve">Ágatha Farias</v>
      </c>
      <c r="G24" t="str">
        <f/>
        <v>Tecnico</v>
      </c>
      <c r="H24" t="str">
        <f/>
        <v>SGE</v>
      </c>
    </row>
    <row r="25" ht="14.25">
      <c r="A25">
        <f/>
        <v>8</v>
      </c>
      <c r="B25">
        <f/>
        <v>23</v>
      </c>
      <c r="C25" t="str">
        <f/>
        <v>Sindicância</v>
      </c>
      <c r="D25" t="str">
        <f/>
        <v>Arquivado</v>
      </c>
      <c r="E25" s="1">
        <f/>
        <v>46217</v>
      </c>
      <c r="F25" t="str">
        <f/>
        <v xml:space="preserve">Raquel Vasconcelos</v>
      </c>
      <c r="G25" t="str">
        <f/>
        <v>Analista</v>
      </c>
      <c r="H25" t="str">
        <f/>
        <v>SGE</v>
      </c>
    </row>
    <row r="26" ht="14.25">
      <c r="A26">
        <f/>
        <v>3</v>
      </c>
      <c r="B26">
        <f/>
        <v>24</v>
      </c>
      <c r="C26" t="str">
        <f/>
        <v>Correição</v>
      </c>
      <c r="D26" t="str">
        <f/>
        <v>Arquivado</v>
      </c>
      <c r="E26" s="1">
        <f/>
        <v>46103</v>
      </c>
      <c r="F26" t="str">
        <f/>
        <v xml:space="preserve">Davi da Rosa</v>
      </c>
      <c r="G26" t="str">
        <f/>
        <v>Tecnico</v>
      </c>
      <c r="H26" t="str">
        <f/>
        <v>SGE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7.36328125"/>
    <col bestFit="1" min="2" max="2" width="23.07421875"/>
  </cols>
  <sheetData>
    <row r="3" ht="14.25">
      <c r="A3" t="s">
        <v>32</v>
      </c>
      <c r="B3" t="s">
        <v>33</v>
      </c>
    </row>
    <row r="4" ht="14.25">
      <c r="A4" s="6" t="s">
        <v>17</v>
      </c>
      <c r="B4">
        <v>6</v>
      </c>
    </row>
    <row r="5" ht="14.25">
      <c r="A5" s="6" t="s">
        <v>23</v>
      </c>
      <c r="B5">
        <v>12</v>
      </c>
    </row>
    <row r="6" ht="14.25">
      <c r="A6" s="6" t="s">
        <v>27</v>
      </c>
      <c r="B6">
        <v>1</v>
      </c>
    </row>
    <row r="7" ht="14.25">
      <c r="A7" s="6" t="s">
        <v>19</v>
      </c>
      <c r="B7">
        <v>5</v>
      </c>
    </row>
    <row r="8" ht="14.25">
      <c r="A8" s="6" t="s">
        <v>34</v>
      </c>
      <c r="B8">
        <v>1</v>
      </c>
    </row>
    <row r="9" ht="14.25">
      <c r="A9" s="6" t="s">
        <v>35</v>
      </c>
      <c r="B9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2026-09-01T14:01:49Z</dcterms:modified>
</cp:coreProperties>
</file>